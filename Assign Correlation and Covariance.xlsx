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A69A32682B6087/Desktop/"/>
    </mc:Choice>
  </mc:AlternateContent>
  <xr:revisionPtr revIDLastSave="156" documentId="8_{86CAF46C-78D8-43B3-B05A-4B9EA227AA6D}" xr6:coauthVersionLast="47" xr6:coauthVersionMax="47" xr10:uidLastSave="{1FB50AB9-08AB-4B0E-9336-8B85AFCF5DA2}"/>
  <bookViews>
    <workbookView xWindow="-108" yWindow="-108" windowWidth="23256" windowHeight="12456" firstSheet="2" activeTab="9" xr2:uid="{54143B86-0AD1-49EA-82C9-DA0913E87F6A}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7" r:id="rId7"/>
    <sheet name="Ques8" sheetId="8" r:id="rId8"/>
    <sheet name="Ques9" sheetId="9" r:id="rId9"/>
    <sheet name="Ques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0" l="1"/>
  <c r="B11" i="10"/>
  <c r="B17" i="8"/>
  <c r="B15" i="8"/>
  <c r="B13" i="8"/>
  <c r="B12" i="8"/>
  <c r="B11" i="8"/>
  <c r="F11" i="6"/>
  <c r="E8" i="6"/>
  <c r="B17" i="6"/>
  <c r="B13" i="6"/>
  <c r="B12" i="6"/>
  <c r="E5" i="6"/>
  <c r="E6" i="6"/>
  <c r="E7" i="6"/>
  <c r="E4" i="6"/>
  <c r="D5" i="6"/>
  <c r="D6" i="6"/>
  <c r="D7" i="6"/>
  <c r="D4" i="6"/>
  <c r="C5" i="6"/>
  <c r="C6" i="6"/>
  <c r="C7" i="6"/>
  <c r="C4" i="6"/>
  <c r="B11" i="6"/>
  <c r="B10" i="6"/>
</calcChain>
</file>

<file path=xl/sharedStrings.xml><?xml version="1.0" encoding="utf-8"?>
<sst xmlns="http://schemas.openxmlformats.org/spreadsheetml/2006/main" count="97" uniqueCount="89">
  <si>
    <t>Define Covariance and explain how it differs from Correlation in terms of scale and interpretation</t>
  </si>
  <si>
    <t>Covariance tells whether two things are moving in the same direction together or different direction</t>
  </si>
  <si>
    <t>Covariance only tells you about direction not strength</t>
  </si>
  <si>
    <t xml:space="preserve">covariance </t>
  </si>
  <si>
    <t>correlation</t>
  </si>
  <si>
    <t>no fixed range</t>
  </si>
  <si>
    <t>fixed range (-1 to +1)</t>
  </si>
  <si>
    <t>difficult to interpret</t>
  </si>
  <si>
    <t>easy to interpret</t>
  </si>
  <si>
    <t>show only direction</t>
  </si>
  <si>
    <t>show direction and strength</t>
  </si>
  <si>
    <t>What does a positive, negative, and zero covariance indicate about the relationship between two variables?</t>
  </si>
  <si>
    <t>Correlation tells you about the direction and strength as well</t>
  </si>
  <si>
    <t>range</t>
  </si>
  <si>
    <t>perfect positive relationship</t>
  </si>
  <si>
    <t>it tell you that both variable are moving in same direction</t>
  </si>
  <si>
    <t>no relationship</t>
  </si>
  <si>
    <t>no relationship exists between variables</t>
  </si>
  <si>
    <t>perfect negative relationship</t>
  </si>
  <si>
    <t>it tells you about one variable increases other decreases</t>
  </si>
  <si>
    <t>Discuss the limitations of covariance as a measure of relationship between two variables. Why is correlation preferred in many cases?</t>
  </si>
  <si>
    <t>Limitations of covariance:</t>
  </si>
  <si>
    <t>Why correlation is preferred:</t>
  </si>
  <si>
    <t>Standardized measure.</t>
  </si>
  <si>
    <t>Lies between –1 and +1.</t>
  </si>
  <si>
    <t>Easy to interpret.</t>
  </si>
  <si>
    <t>Indicates both strength and direction.</t>
  </si>
  <si>
    <t>No fixed scale.</t>
  </si>
  <si>
    <t>Cannot compare relationships between different datasets.</t>
  </si>
  <si>
    <t xml:space="preserve"> Value depends on measurement units.</t>
  </si>
  <si>
    <t>Hard to interpret magnitude.</t>
  </si>
  <si>
    <t>Explain the difference between Pearson’s correlation coefficient and Spearman’s rank correlation coefficient. When would you prefer to use Spearman’s correlation?</t>
  </si>
  <si>
    <t>Feature</t>
  </si>
  <si>
    <t>Pearson</t>
  </si>
  <si>
    <t>Spearman</t>
  </si>
  <si>
    <t>Data type</t>
  </si>
  <si>
    <t>Numerical</t>
  </si>
  <si>
    <t>Ranked</t>
  </si>
  <si>
    <t>Relationship</t>
  </si>
  <si>
    <t>Linear</t>
  </si>
  <si>
    <t>Monotonic</t>
  </si>
  <si>
    <t>Sensitivity</t>
  </si>
  <si>
    <t>Affected by outliers</t>
  </si>
  <si>
    <t>Less affected</t>
  </si>
  <si>
    <t>Distribution</t>
  </si>
  <si>
    <t>Normal data</t>
  </si>
  <si>
    <t>Non-normal data</t>
  </si>
  <si>
    <t>Data is ordinal.</t>
  </si>
  <si>
    <t>Relationship is not linear.</t>
  </si>
  <si>
    <t>Outliers are present.</t>
  </si>
  <si>
    <t>We will  prefer Spearman corration because</t>
  </si>
  <si>
    <t>If the correlation coefficient between two variables X and Y is 0.85, interpret this value in context. Can you infer causation from this value? Why or why not?</t>
  </si>
  <si>
    <t>it indicates moderate positive relationship between X and Y</t>
  </si>
  <si>
    <t>As X increases, Y also increases significantly</t>
  </si>
  <si>
    <t>Causation cannot be inferred because</t>
  </si>
  <si>
    <t>Correlation only measures association</t>
  </si>
  <si>
    <t>Other variables may influence both X and Y</t>
  </si>
  <si>
    <t>Using the dataset below, calculate the covariance between X and Y.</t>
  </si>
  <si>
    <t>X</t>
  </si>
  <si>
    <t>Y</t>
  </si>
  <si>
    <t>meanx</t>
  </si>
  <si>
    <t>meany</t>
  </si>
  <si>
    <t>x-bar</t>
  </si>
  <si>
    <t>y-bar</t>
  </si>
  <si>
    <t>xbar * ybar</t>
  </si>
  <si>
    <t>std x</t>
  </si>
  <si>
    <t>stdy</t>
  </si>
  <si>
    <t>Covariance</t>
  </si>
  <si>
    <t>covariance</t>
  </si>
  <si>
    <t>Compute the Pearson correlation coefficient between variables A and B:</t>
  </si>
  <si>
    <t>A</t>
  </si>
  <si>
    <t>B</t>
  </si>
  <si>
    <t>Strong positive correlation (close to +1)</t>
  </si>
  <si>
    <t>as A increases, B also increases proportionally.</t>
  </si>
  <si>
    <t>The following table shows heights (in cm) and weights (in kg) of 5 students.  Find the correlation coefficient between Height and Weight.</t>
  </si>
  <si>
    <t>Height (cm)</t>
  </si>
  <si>
    <t>Weight (kg)</t>
  </si>
  <si>
    <t>std (height)</t>
  </si>
  <si>
    <t>std (weight)</t>
  </si>
  <si>
    <t>it is a very strong positive correlation, as height increases weight also increases.</t>
  </si>
  <si>
    <t>Given the dataset below, determine whether there is a positive or negative correlation between X and Y.  (No need for exact calculation, just reasoning.)</t>
  </si>
  <si>
    <t>As X increases, Y decreases.</t>
  </si>
  <si>
    <t>Negative correlation</t>
  </si>
  <si>
    <t>Two investment portfolios have the following returns (%) over 5 years. Compute the covariance and correlation coefficient, and interpret whether the portfolios move together.</t>
  </si>
  <si>
    <t>Year</t>
  </si>
  <si>
    <t>Portfolio A</t>
  </si>
  <si>
    <t>Portfolio B</t>
  </si>
  <si>
    <t xml:space="preserve">as covariance is postive so it says that both portfolio move together </t>
  </si>
  <si>
    <t>as correlation is weak positive correlation it states that when A increase most probably also increases sometime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</si>
</sst>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1835-E874-4A75-9AC8-91C38C532794}">
  <dimension ref="A1:G12"/>
  <sheetViews>
    <sheetView workbookViewId="0">
      <selection activeCell="F14" sqref="F14"/>
    </sheetView>
  </sheetViews>
  <sheetFormatPr defaultRowHeight="14.4" x14ac:dyDescent="0.3"/>
  <sheetData>
    <row r="1" spans="1:7" x14ac:dyDescent="0.3">
      <c r="A1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6" spans="1:7" x14ac:dyDescent="0.3">
      <c r="C6" t="s">
        <v>3</v>
      </c>
      <c r="G6" t="s">
        <v>4</v>
      </c>
    </row>
    <row r="8" spans="1:7" x14ac:dyDescent="0.3">
      <c r="C8" t="s">
        <v>5</v>
      </c>
      <c r="G8" t="s">
        <v>6</v>
      </c>
    </row>
    <row r="10" spans="1:7" x14ac:dyDescent="0.3">
      <c r="C10" t="s">
        <v>7</v>
      </c>
      <c r="G10" t="s">
        <v>8</v>
      </c>
    </row>
    <row r="12" spans="1:7" x14ac:dyDescent="0.3">
      <c r="C12" t="s">
        <v>9</v>
      </c>
      <c r="G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340B-4205-41C2-B220-A40B2F92A842}">
  <dimension ref="A1:E10"/>
  <sheetViews>
    <sheetView workbookViewId="0">
      <selection activeCell="F13" sqref="F13"/>
    </sheetView>
  </sheetViews>
  <sheetFormatPr defaultRowHeight="14.4" x14ac:dyDescent="0.3"/>
  <sheetData>
    <row r="1" spans="1:5" x14ac:dyDescent="0.3">
      <c r="A1" t="s">
        <v>11</v>
      </c>
    </row>
    <row r="3" spans="1:5" x14ac:dyDescent="0.3">
      <c r="A3" t="s">
        <v>12</v>
      </c>
    </row>
    <row r="4" spans="1:5" x14ac:dyDescent="0.3">
      <c r="A4" t="s">
        <v>13</v>
      </c>
    </row>
    <row r="6" spans="1:5" x14ac:dyDescent="0.3">
      <c r="A6">
        <v>1</v>
      </c>
      <c r="B6" t="s">
        <v>14</v>
      </c>
      <c r="E6" t="s">
        <v>15</v>
      </c>
    </row>
    <row r="8" spans="1:5" x14ac:dyDescent="0.3">
      <c r="A8">
        <v>0</v>
      </c>
      <c r="B8" t="s">
        <v>16</v>
      </c>
      <c r="E8" t="s">
        <v>17</v>
      </c>
    </row>
    <row r="10" spans="1:5" x14ac:dyDescent="0.3">
      <c r="A10">
        <v>-1</v>
      </c>
      <c r="B10" t="s">
        <v>18</v>
      </c>
      <c r="E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6C3C-49CB-406E-B32B-F98ED4A0491A}">
  <dimension ref="A1:A13"/>
  <sheetViews>
    <sheetView workbookViewId="0">
      <selection activeCell="B8" sqref="B8"/>
    </sheetView>
  </sheetViews>
  <sheetFormatPr defaultRowHeight="14.4" x14ac:dyDescent="0.3"/>
  <sheetData>
    <row r="1" spans="1:1" x14ac:dyDescent="0.3">
      <c r="A1" t="s">
        <v>20</v>
      </c>
    </row>
    <row r="3" spans="1:1" x14ac:dyDescent="0.3">
      <c r="A3" t="s">
        <v>21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25</v>
      </c>
    </row>
    <row r="13" spans="1:1" x14ac:dyDescent="0.3">
      <c r="A1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36F4-DC28-42C3-92EC-9A9E6A24F258}">
  <dimension ref="A1:C14"/>
  <sheetViews>
    <sheetView workbookViewId="0">
      <selection activeCell="A15" sqref="A15"/>
    </sheetView>
  </sheetViews>
  <sheetFormatPr defaultRowHeight="14.4" x14ac:dyDescent="0.3"/>
  <cols>
    <col min="1" max="1" width="14.6640625" customWidth="1"/>
    <col min="2" max="2" width="14.88671875" customWidth="1"/>
    <col min="3" max="3" width="15" customWidth="1"/>
  </cols>
  <sheetData>
    <row r="1" spans="1:3" x14ac:dyDescent="0.3">
      <c r="A1" t="s">
        <v>31</v>
      </c>
    </row>
    <row r="4" spans="1:3" x14ac:dyDescent="0.3">
      <c r="A4" s="4" t="s">
        <v>32</v>
      </c>
      <c r="B4" s="4" t="s">
        <v>33</v>
      </c>
      <c r="C4" s="4" t="s">
        <v>34</v>
      </c>
    </row>
    <row r="5" spans="1:3" x14ac:dyDescent="0.3">
      <c r="A5" s="5" t="s">
        <v>35</v>
      </c>
      <c r="B5" s="5" t="s">
        <v>36</v>
      </c>
      <c r="C5" s="5" t="s">
        <v>37</v>
      </c>
    </row>
    <row r="6" spans="1:3" x14ac:dyDescent="0.3">
      <c r="A6" s="5" t="s">
        <v>38</v>
      </c>
      <c r="B6" s="5" t="s">
        <v>39</v>
      </c>
      <c r="C6" s="5" t="s">
        <v>40</v>
      </c>
    </row>
    <row r="7" spans="1:3" x14ac:dyDescent="0.3">
      <c r="A7" s="5" t="s">
        <v>41</v>
      </c>
      <c r="B7" s="5" t="s">
        <v>42</v>
      </c>
      <c r="C7" s="5" t="s">
        <v>43</v>
      </c>
    </row>
    <row r="8" spans="1:3" x14ac:dyDescent="0.3">
      <c r="A8" s="5" t="s">
        <v>44</v>
      </c>
      <c r="B8" s="5" t="s">
        <v>45</v>
      </c>
      <c r="C8" s="5" t="s">
        <v>46</v>
      </c>
    </row>
    <row r="11" spans="1:3" x14ac:dyDescent="0.3">
      <c r="A11" t="s">
        <v>50</v>
      </c>
    </row>
    <row r="12" spans="1:3" x14ac:dyDescent="0.3">
      <c r="A12" t="s">
        <v>47</v>
      </c>
    </row>
    <row r="13" spans="1:3" x14ac:dyDescent="0.3">
      <c r="A13" t="s">
        <v>48</v>
      </c>
    </row>
    <row r="14" spans="1:3" x14ac:dyDescent="0.3">
      <c r="A1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CDE1-D5F2-4F86-98DF-7139A193A3AA}">
  <dimension ref="A1:B12"/>
  <sheetViews>
    <sheetView workbookViewId="0">
      <selection activeCell="A10" sqref="A10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51</v>
      </c>
    </row>
    <row r="4" spans="1:2" x14ac:dyDescent="0.3">
      <c r="A4" t="s">
        <v>4</v>
      </c>
      <c r="B4">
        <v>0.85</v>
      </c>
    </row>
    <row r="6" spans="1:2" x14ac:dyDescent="0.3">
      <c r="A6" t="s">
        <v>52</v>
      </c>
    </row>
    <row r="7" spans="1:2" x14ac:dyDescent="0.3">
      <c r="A7" t="s">
        <v>53</v>
      </c>
    </row>
    <row r="10" spans="1:2" x14ac:dyDescent="0.3">
      <c r="A10" t="s">
        <v>54</v>
      </c>
    </row>
    <row r="11" spans="1:2" x14ac:dyDescent="0.3">
      <c r="A11" t="s">
        <v>55</v>
      </c>
    </row>
    <row r="12" spans="1:2" x14ac:dyDescent="0.3">
      <c r="A12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F67E-A841-4DB0-AE5E-D89A65970C98}">
  <dimension ref="A1:F17"/>
  <sheetViews>
    <sheetView workbookViewId="0">
      <selection activeCell="D18" sqref="D18"/>
    </sheetView>
  </sheetViews>
  <sheetFormatPr defaultRowHeight="14.4" x14ac:dyDescent="0.3"/>
  <cols>
    <col min="1" max="1" width="14.44140625" customWidth="1"/>
    <col min="5" max="5" width="13" customWidth="1"/>
  </cols>
  <sheetData>
    <row r="1" spans="1:6" x14ac:dyDescent="0.3">
      <c r="A1" t="s">
        <v>57</v>
      </c>
    </row>
    <row r="3" spans="1:6" x14ac:dyDescent="0.3">
      <c r="A3" s="4" t="s">
        <v>58</v>
      </c>
      <c r="B3" s="4" t="s">
        <v>59</v>
      </c>
      <c r="C3" t="s">
        <v>62</v>
      </c>
      <c r="D3" t="s">
        <v>63</v>
      </c>
      <c r="E3" t="s">
        <v>64</v>
      </c>
    </row>
    <row r="4" spans="1:6" x14ac:dyDescent="0.3">
      <c r="A4" s="6">
        <v>2</v>
      </c>
      <c r="B4" s="6">
        <v>3</v>
      </c>
      <c r="C4">
        <f>A4-$B$10</f>
        <v>-3</v>
      </c>
      <c r="D4">
        <f>B4-$B$11</f>
        <v>-3.25</v>
      </c>
      <c r="E4">
        <f>C4*D4</f>
        <v>9.75</v>
      </c>
    </row>
    <row r="5" spans="1:6" x14ac:dyDescent="0.3">
      <c r="A5" s="6">
        <v>4</v>
      </c>
      <c r="B5" s="6">
        <v>7</v>
      </c>
      <c r="C5">
        <f t="shared" ref="C5:C7" si="0">A5-$B$10</f>
        <v>-1</v>
      </c>
      <c r="D5">
        <f t="shared" ref="D5:D7" si="1">B5-$B$11</f>
        <v>0.75</v>
      </c>
      <c r="E5">
        <f t="shared" ref="E5:E7" si="2">C5*D5</f>
        <v>-0.75</v>
      </c>
    </row>
    <row r="6" spans="1:6" x14ac:dyDescent="0.3">
      <c r="A6" s="6">
        <v>6</v>
      </c>
      <c r="B6" s="6">
        <v>5</v>
      </c>
      <c r="C6">
        <f t="shared" si="0"/>
        <v>1</v>
      </c>
      <c r="D6">
        <f t="shared" si="1"/>
        <v>-1.25</v>
      </c>
      <c r="E6">
        <f t="shared" si="2"/>
        <v>-1.25</v>
      </c>
    </row>
    <row r="7" spans="1:6" x14ac:dyDescent="0.3">
      <c r="A7" s="6">
        <v>8</v>
      </c>
      <c r="B7" s="6">
        <v>10</v>
      </c>
      <c r="C7">
        <f t="shared" si="0"/>
        <v>3</v>
      </c>
      <c r="D7">
        <f t="shared" si="1"/>
        <v>3.75</v>
      </c>
      <c r="E7">
        <f t="shared" si="2"/>
        <v>11.25</v>
      </c>
    </row>
    <row r="8" spans="1:6" x14ac:dyDescent="0.3">
      <c r="E8">
        <f>SUM(E4:E7)</f>
        <v>19</v>
      </c>
    </row>
    <row r="10" spans="1:6" x14ac:dyDescent="0.3">
      <c r="A10" t="s">
        <v>60</v>
      </c>
      <c r="B10">
        <f>AVERAGE(A4:A7)</f>
        <v>5</v>
      </c>
    </row>
    <row r="11" spans="1:6" x14ac:dyDescent="0.3">
      <c r="A11" t="s">
        <v>61</v>
      </c>
      <c r="B11">
        <f>AVERAGE(B4:B7)</f>
        <v>6.25</v>
      </c>
      <c r="E11" t="s">
        <v>68</v>
      </c>
      <c r="F11">
        <f>E8/3</f>
        <v>6.333333333333333</v>
      </c>
    </row>
    <row r="12" spans="1:6" x14ac:dyDescent="0.3">
      <c r="A12" t="s">
        <v>65</v>
      </c>
      <c r="B12">
        <f>_xlfn.STDEV.S(A4:A7)</f>
        <v>2.5819888974716112</v>
      </c>
    </row>
    <row r="13" spans="1:6" x14ac:dyDescent="0.3">
      <c r="A13" t="s">
        <v>66</v>
      </c>
      <c r="B13">
        <f>_xlfn.STDEV.S(B4:B7)</f>
        <v>2.9860788111948193</v>
      </c>
    </row>
    <row r="17" spans="1:2" x14ac:dyDescent="0.3">
      <c r="A17" t="s">
        <v>67</v>
      </c>
      <c r="B17">
        <f>_xlfn.COVARIANCE.S(A4:A7,B4:B7)</f>
        <v>6.333333333333333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BD26-8B9B-411B-A508-073566AFF88E}">
  <dimension ref="A1:B12"/>
  <sheetViews>
    <sheetView workbookViewId="0">
      <selection activeCell="B12" sqref="B12"/>
    </sheetView>
  </sheetViews>
  <sheetFormatPr defaultRowHeight="14.4" x14ac:dyDescent="0.3"/>
  <sheetData>
    <row r="1" spans="1:2" x14ac:dyDescent="0.3">
      <c r="A1" t="s">
        <v>69</v>
      </c>
    </row>
    <row r="3" spans="1:2" x14ac:dyDescent="0.3">
      <c r="A3" s="3" t="s">
        <v>70</v>
      </c>
      <c r="B3" s="3" t="s">
        <v>71</v>
      </c>
    </row>
    <row r="4" spans="1:2" x14ac:dyDescent="0.3">
      <c r="A4" s="2">
        <v>10</v>
      </c>
      <c r="B4" s="2">
        <v>8</v>
      </c>
    </row>
    <row r="5" spans="1:2" x14ac:dyDescent="0.3">
      <c r="A5" s="2">
        <v>20</v>
      </c>
      <c r="B5" s="2">
        <v>14</v>
      </c>
    </row>
    <row r="6" spans="1:2" x14ac:dyDescent="0.3">
      <c r="A6" s="2">
        <v>30</v>
      </c>
      <c r="B6" s="2">
        <v>18</v>
      </c>
    </row>
    <row r="7" spans="1:2" x14ac:dyDescent="0.3">
      <c r="A7" s="2">
        <v>40</v>
      </c>
      <c r="B7" s="2">
        <v>24</v>
      </c>
    </row>
    <row r="8" spans="1:2" x14ac:dyDescent="0.3">
      <c r="A8" s="2">
        <v>50</v>
      </c>
      <c r="B8" s="2">
        <v>28</v>
      </c>
    </row>
    <row r="11" spans="1:2" x14ac:dyDescent="0.3">
      <c r="A11" s="1" t="s">
        <v>73</v>
      </c>
    </row>
    <row r="12" spans="1:2" s="7" customFormat="1" x14ac:dyDescent="0.3">
      <c r="A12" s="7" t="s">
        <v>72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2804-9C53-465F-8BB9-D52931EA5BFB}">
  <dimension ref="A1:B19"/>
  <sheetViews>
    <sheetView workbookViewId="0">
      <selection activeCell="B22" sqref="B22"/>
    </sheetView>
  </sheetViews>
  <sheetFormatPr defaultRowHeight="14.4" x14ac:dyDescent="0.3"/>
  <cols>
    <col min="1" max="1" width="14.33203125" customWidth="1"/>
    <col min="2" max="2" width="18.109375" customWidth="1"/>
  </cols>
  <sheetData>
    <row r="1" spans="1:2" x14ac:dyDescent="0.3">
      <c r="A1" t="s">
        <v>74</v>
      </c>
    </row>
    <row r="3" spans="1:2" x14ac:dyDescent="0.3">
      <c r="A3" s="4" t="s">
        <v>75</v>
      </c>
      <c r="B3" s="4" t="s">
        <v>76</v>
      </c>
    </row>
    <row r="4" spans="1:2" x14ac:dyDescent="0.3">
      <c r="A4" s="6">
        <v>150</v>
      </c>
      <c r="B4" s="6">
        <v>50</v>
      </c>
    </row>
    <row r="5" spans="1:2" x14ac:dyDescent="0.3">
      <c r="A5" s="6">
        <v>160</v>
      </c>
      <c r="B5" s="6">
        <v>55</v>
      </c>
    </row>
    <row r="6" spans="1:2" x14ac:dyDescent="0.3">
      <c r="A6" s="6">
        <v>165</v>
      </c>
      <c r="B6" s="6">
        <v>58</v>
      </c>
    </row>
    <row r="7" spans="1:2" x14ac:dyDescent="0.3">
      <c r="A7" s="6">
        <v>170</v>
      </c>
      <c r="B7" s="6">
        <v>62</v>
      </c>
    </row>
    <row r="8" spans="1:2" x14ac:dyDescent="0.3">
      <c r="A8" s="6">
        <v>180</v>
      </c>
      <c r="B8" s="6">
        <v>70</v>
      </c>
    </row>
    <row r="11" spans="1:2" x14ac:dyDescent="0.3">
      <c r="A11" t="s">
        <v>67</v>
      </c>
      <c r="B11">
        <f>_xlfn.COVARIANCE.S(A4:A8,B4:B8)</f>
        <v>83.75</v>
      </c>
    </row>
    <row r="12" spans="1:2" x14ac:dyDescent="0.3">
      <c r="A12" t="s">
        <v>77</v>
      </c>
      <c r="B12">
        <f>_xlfn.STDEV.S(A4:A8)</f>
        <v>11.180339887498949</v>
      </c>
    </row>
    <row r="13" spans="1:2" x14ac:dyDescent="0.3">
      <c r="A13" t="s">
        <v>78</v>
      </c>
      <c r="B13">
        <f>_xlfn.STDEV.S(B4:B8)</f>
        <v>7.5498344352707498</v>
      </c>
    </row>
    <row r="15" spans="1:2" x14ac:dyDescent="0.3">
      <c r="A15" t="s">
        <v>4</v>
      </c>
      <c r="B15">
        <f>B11/(B12*B13)</f>
        <v>0.99218437024647965</v>
      </c>
    </row>
    <row r="17" spans="1:2" x14ac:dyDescent="0.3">
      <c r="A17" t="s">
        <v>4</v>
      </c>
      <c r="B17">
        <f>CORREL(A4:A8,B4:B8)</f>
        <v>0.99218437024647965</v>
      </c>
    </row>
    <row r="19" spans="1:2" x14ac:dyDescent="0.3">
      <c r="A19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16A5-B105-4E1F-BBEF-2B36EFCA5B80}">
  <dimension ref="A1:B12"/>
  <sheetViews>
    <sheetView workbookViewId="0">
      <selection activeCell="E14" sqref="E14"/>
    </sheetView>
  </sheetViews>
  <sheetFormatPr defaultRowHeight="14.4" x14ac:dyDescent="0.3"/>
  <sheetData>
    <row r="1" spans="1:2" x14ac:dyDescent="0.3">
      <c r="A1" t="s">
        <v>80</v>
      </c>
    </row>
    <row r="3" spans="1:2" x14ac:dyDescent="0.3">
      <c r="A3" s="3" t="s">
        <v>58</v>
      </c>
      <c r="B3" s="3" t="s">
        <v>59</v>
      </c>
    </row>
    <row r="4" spans="1:2" x14ac:dyDescent="0.3">
      <c r="A4" s="2">
        <v>1</v>
      </c>
      <c r="B4" s="2">
        <v>15</v>
      </c>
    </row>
    <row r="5" spans="1:2" x14ac:dyDescent="0.3">
      <c r="A5" s="2">
        <v>2</v>
      </c>
      <c r="B5" s="2">
        <v>12</v>
      </c>
    </row>
    <row r="6" spans="1:2" x14ac:dyDescent="0.3">
      <c r="A6" s="2">
        <v>3</v>
      </c>
      <c r="B6" s="2">
        <v>9</v>
      </c>
    </row>
    <row r="7" spans="1:2" x14ac:dyDescent="0.3">
      <c r="A7" s="2">
        <v>4</v>
      </c>
      <c r="B7" s="2">
        <v>7</v>
      </c>
    </row>
    <row r="8" spans="1:2" x14ac:dyDescent="0.3">
      <c r="A8" s="2">
        <v>5</v>
      </c>
      <c r="B8" s="2">
        <v>3</v>
      </c>
    </row>
    <row r="11" spans="1:2" x14ac:dyDescent="0.3">
      <c r="A11" t="s">
        <v>81</v>
      </c>
    </row>
    <row r="12" spans="1:2" x14ac:dyDescent="0.3">
      <c r="A12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8CF7-EE89-427C-B449-7DA476726D79}">
  <dimension ref="A1:C16"/>
  <sheetViews>
    <sheetView tabSelected="1" workbookViewId="0">
      <selection activeCell="J13" sqref="J13"/>
    </sheetView>
  </sheetViews>
  <sheetFormatPr defaultRowHeight="14.4" x14ac:dyDescent="0.3"/>
  <cols>
    <col min="1" max="1" width="13.5546875" customWidth="1"/>
    <col min="2" max="2" width="16.109375" customWidth="1"/>
    <col min="3" max="3" width="14.77734375" customWidth="1"/>
  </cols>
  <sheetData>
    <row r="1" spans="1:3" x14ac:dyDescent="0.3">
      <c r="A1" t="s">
        <v>83</v>
      </c>
    </row>
    <row r="3" spans="1:3" x14ac:dyDescent="0.3">
      <c r="A3" s="4" t="s">
        <v>84</v>
      </c>
      <c r="B3" s="4" t="s">
        <v>85</v>
      </c>
      <c r="C3" s="4" t="s">
        <v>86</v>
      </c>
    </row>
    <row r="4" spans="1:3" x14ac:dyDescent="0.3">
      <c r="A4" s="6">
        <v>1</v>
      </c>
      <c r="B4" s="6">
        <v>6</v>
      </c>
      <c r="C4" s="6">
        <v>9</v>
      </c>
    </row>
    <row r="5" spans="1:3" x14ac:dyDescent="0.3">
      <c r="A5" s="6">
        <v>2</v>
      </c>
      <c r="B5" s="6">
        <v>10</v>
      </c>
      <c r="C5" s="6">
        <v>11</v>
      </c>
    </row>
    <row r="6" spans="1:3" x14ac:dyDescent="0.3">
      <c r="A6" s="6">
        <v>3</v>
      </c>
      <c r="B6" s="6">
        <v>12</v>
      </c>
      <c r="C6" s="6">
        <v>8</v>
      </c>
    </row>
    <row r="7" spans="1:3" x14ac:dyDescent="0.3">
      <c r="A7" s="6">
        <v>4</v>
      </c>
      <c r="B7" s="6">
        <v>9</v>
      </c>
      <c r="C7" s="6">
        <v>10</v>
      </c>
    </row>
    <row r="8" spans="1:3" x14ac:dyDescent="0.3">
      <c r="A8" s="6">
        <v>5</v>
      </c>
      <c r="B8" s="6">
        <v>11</v>
      </c>
      <c r="C8" s="6">
        <v>12</v>
      </c>
    </row>
    <row r="11" spans="1:3" x14ac:dyDescent="0.3">
      <c r="A11" t="s">
        <v>68</v>
      </c>
      <c r="B11">
        <f>_xlfn.COVARIANCE.S(B4:B8,C4:C8)</f>
        <v>0.5</v>
      </c>
    </row>
    <row r="12" spans="1:3" x14ac:dyDescent="0.3">
      <c r="A12" t="s">
        <v>4</v>
      </c>
      <c r="B12">
        <f>CORREL(B4:B8,C4:C8)</f>
        <v>0.13736056394868904</v>
      </c>
    </row>
    <row r="14" spans="1:3" x14ac:dyDescent="0.3">
      <c r="A14" t="s">
        <v>87</v>
      </c>
    </row>
    <row r="16" spans="1:3" x14ac:dyDescent="0.3">
      <c r="A1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  <vt:lpstr>Ques9</vt:lpstr>
      <vt:lpstr>Ques10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malik</dc:creator>
  <cp:lastModifiedBy>vishu malik</cp:lastModifiedBy>
  <dcterms:created xsi:type="dcterms:W3CDTF">2026-01-18T07:42:34Z</dcterms:created>
  <dcterms:modified xsi:type="dcterms:W3CDTF">2026-01-18T08:37:17Z</dcterms:modified>
</cp:coreProperties>
</file>